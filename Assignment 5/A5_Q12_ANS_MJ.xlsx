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neduau-my.sharepoint.com/personal/c3091082_uon_edu_au/Documents/Documents/Univeristy Teaching/ENGG2100/2025/04_Assignments/Assignment 5/"/>
    </mc:Choice>
  </mc:AlternateContent>
  <xr:revisionPtr revIDLastSave="19" documentId="8_{42ED7EB2-B7DC-468C-8CA7-C8B021002DA7}" xr6:coauthVersionLast="47" xr6:coauthVersionMax="47" xr10:uidLastSave="{12DF062F-147A-464D-A296-45E8DAC4EF21}"/>
  <bookViews>
    <workbookView xWindow="28680" yWindow="-120" windowWidth="29040" windowHeight="15720" xr2:uid="{00000000-000D-0000-FFFF-FFFF00000000}"/>
  </bookViews>
  <sheets>
    <sheet name="Q12 ANS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H39" i="3"/>
  <c r="I39" i="3"/>
  <c r="P39" i="3"/>
  <c r="Q39" i="3" s="1"/>
  <c r="H40" i="3"/>
  <c r="I40" i="3" s="1"/>
  <c r="P40" i="3"/>
  <c r="Q40" i="3"/>
  <c r="H41" i="3"/>
  <c r="I41" i="3" s="1"/>
  <c r="P41" i="3"/>
  <c r="Q41" i="3"/>
  <c r="H42" i="3"/>
  <c r="I42" i="3"/>
  <c r="P42" i="3"/>
  <c r="Q42" i="3" s="1"/>
  <c r="H43" i="3"/>
  <c r="I43" i="3" s="1"/>
  <c r="P43" i="3"/>
  <c r="Q43" i="3" s="1"/>
  <c r="H44" i="3"/>
  <c r="I44" i="3"/>
  <c r="P44" i="3"/>
  <c r="Q44" i="3"/>
  <c r="H45" i="3"/>
  <c r="I45" i="3" s="1"/>
  <c r="P45" i="3"/>
  <c r="Q45" i="3"/>
  <c r="H46" i="3"/>
  <c r="I46" i="3" s="1"/>
  <c r="P46" i="3"/>
  <c r="Q46" i="3" s="1"/>
  <c r="H47" i="3"/>
  <c r="I47" i="3"/>
  <c r="P47" i="3"/>
  <c r="Q47" i="3" s="1"/>
  <c r="H48" i="3"/>
  <c r="I48" i="3" s="1"/>
  <c r="P48" i="3"/>
  <c r="Q48" i="3" s="1"/>
  <c r="I50" i="3"/>
  <c r="Q50" i="3"/>
  <c r="I52" i="3"/>
  <c r="Q52" i="3"/>
  <c r="I49" i="3" l="1"/>
  <c r="I51" i="3" s="1"/>
  <c r="O3" i="3" s="1"/>
  <c r="Q49" i="3"/>
  <c r="Q51" i="3" s="1"/>
  <c r="O2" i="3" s="1"/>
</calcChain>
</file>

<file path=xl/sharedStrings.xml><?xml version="1.0" encoding="utf-8"?>
<sst xmlns="http://schemas.openxmlformats.org/spreadsheetml/2006/main" count="112" uniqueCount="53">
  <si>
    <t>RPM</t>
  </si>
  <si>
    <t>Load</t>
  </si>
  <si>
    <t>Coolant</t>
  </si>
  <si>
    <t>Ambient</t>
  </si>
  <si>
    <t>Throttle</t>
  </si>
  <si>
    <t>Pressure</t>
  </si>
  <si>
    <t>Fuel</t>
  </si>
  <si>
    <t>Intercept</t>
  </si>
  <si>
    <t>Residual</t>
  </si>
  <si>
    <t>X Variable 6</t>
  </si>
  <si>
    <t>adjust R2</t>
  </si>
  <si>
    <t>TRAINING</t>
  </si>
  <si>
    <t>X Variable 5</t>
  </si>
  <si>
    <t>TESTING</t>
  </si>
  <si>
    <t>X Variable 4</t>
  </si>
  <si>
    <t>Syy</t>
  </si>
  <si>
    <t>X Variable 3</t>
  </si>
  <si>
    <t>SSE</t>
  </si>
  <si>
    <t>X Variable 2</t>
  </si>
  <si>
    <t>X Variable 1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</si>
  <si>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</si>
  <si>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</si>
  <si>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</si>
  <si>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</si>
  <si>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</si>
  <si>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</si>
  <si>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</si>
  <si>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</si>
  <si>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</si>
  <si>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Regression</t>
  </si>
  <si>
    <t>Significance F</t>
  </si>
  <si>
    <t>F</t>
  </si>
  <si>
    <t>MS</t>
  </si>
  <si>
    <t>SS</t>
  </si>
  <si>
    <t>df</t>
  </si>
  <si>
    <t>ANOVA</t>
  </si>
  <si>
    <t>Error square</t>
  </si>
  <si>
    <t>Predict</t>
  </si>
  <si>
    <t>Observations</t>
  </si>
  <si>
    <t>LTP (LOAD,THROTTLE PRESSRE)</t>
  </si>
  <si>
    <t>KITCHEN SINK (ALL VARIABLES)</t>
  </si>
  <si>
    <t>Adjusted R Square</t>
  </si>
  <si>
    <t>R Square</t>
  </si>
  <si>
    <t>Multiple R</t>
  </si>
  <si>
    <t>Regression Statistics</t>
  </si>
  <si>
    <t>MODEL -KITCHEN SINK</t>
  </si>
  <si>
    <t>3) SUMMARY OUTPUT FOR ALL VARIABLES - KITCHEN SINK</t>
  </si>
  <si>
    <r>
      <t xml:space="preserve">Odd-numbered data points: </t>
    </r>
    <r>
      <rPr>
        <b/>
        <sz val="11"/>
        <color theme="1"/>
        <rFont val="Calibri"/>
        <family val="2"/>
        <scheme val="minor"/>
      </rPr>
      <t>Training</t>
    </r>
  </si>
  <si>
    <t>MODEL LTP</t>
  </si>
  <si>
    <t>2) SUMMARY OUTPUT FOR LTP (THREE VARIABLES)</t>
  </si>
  <si>
    <t>SUMMARY</t>
  </si>
  <si>
    <t>DATA</t>
  </si>
  <si>
    <r>
      <t xml:space="preserve">Even-numbered data points: </t>
    </r>
    <r>
      <rPr>
        <b/>
        <sz val="11"/>
        <color theme="1"/>
        <rFont val="Calibri"/>
        <family val="2"/>
        <scheme val="minor"/>
      </rPr>
      <t>Testing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</si>
</sst>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Continuous"/>
    </xf>
    <xf numFmtId="0" fontId="0" fillId="3" borderId="0" xfId="0" applyFill="1"/>
    <xf numFmtId="0" fontId="0" fillId="4" borderId="0" xfId="0" applyFill="1" applyAlignment="1">
      <alignment horizontal="center"/>
    </xf>
    <xf numFmtId="164" fontId="4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58</xdr:row>
      <xdr:rowOff>13607</xdr:rowOff>
    </xdr:from>
    <xdr:to>
      <xdr:col>8</xdr:col>
      <xdr:colOff>967468</xdr:colOff>
      <xdr:row>64</xdr:row>
      <xdr:rowOff>104369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6276A-AAD8-4119-B73E-23768FE96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" y="11552464"/>
          <a:ext cx="6315075" cy="1233762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65</xdr:row>
      <xdr:rowOff>13607</xdr:rowOff>
    </xdr:from>
    <xdr:to>
      <xdr:col>9</xdr:col>
      <xdr:colOff>142119</xdr:colOff>
      <xdr:row>74</xdr:row>
      <xdr:rowOff>187470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DB3D1-C10A-4BD8-9528-5FA94F95E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9" y="12885964"/>
          <a:ext cx="6932083" cy="1888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0A63-8736-40D2-8EF5-7E3B2A357059}">
  <dimension ref="A1:AB52"/>
  <sheetViews>
    <sheetView tabSelected="1" zoomScale="70" zoomScaleNormal="70" workbookViewId="0">
      <selection activeCell="P14" sqref="P14"/>
    </sheetView>
  </sheetViews>
  <sheetFormatPr defaultRowHeight="15" x14ac:dyDescent="0.25"/>
  <cols>
    <col min="8" max="8" width="17.5703125" customWidth="1"/>
    <col min="9" max="9" width="20.7109375" customWidth="1"/>
    <col min="10" max="10" width="5.85546875" customWidth="1"/>
    <col min="14" max="14" width="12" bestFit="1" customWidth="1"/>
    <col min="15" max="15" width="11.85546875" customWidth="1"/>
    <col min="16" max="16" width="20.5703125" customWidth="1"/>
    <col min="17" max="17" width="19.140625" customWidth="1"/>
    <col min="18" max="18" width="7" customWidth="1"/>
    <col min="19" max="19" width="5.140625" customWidth="1"/>
    <col min="20" max="20" width="16.140625" customWidth="1"/>
    <col min="21" max="21" width="19.7109375" customWidth="1"/>
    <col min="22" max="22" width="14.85546875" customWidth="1"/>
  </cols>
  <sheetData>
    <row r="1" spans="1:22" x14ac:dyDescent="0.25">
      <c r="A1" s="17" t="s">
        <v>51</v>
      </c>
      <c r="B1" s="17"/>
      <c r="C1" s="17"/>
      <c r="D1" s="17"/>
      <c r="E1" s="17"/>
      <c r="F1" s="17"/>
      <c r="G1" s="17"/>
      <c r="H1" s="16"/>
      <c r="I1" s="16"/>
      <c r="J1" s="16"/>
      <c r="K1" s="15" t="s">
        <v>50</v>
      </c>
      <c r="L1" s="15"/>
      <c r="M1" s="15"/>
      <c r="N1" s="15"/>
      <c r="O1" s="15"/>
    </row>
    <row r="2" spans="1:22" ht="23.2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K2" s="14" t="str">
        <f>P37</f>
        <v>LTP (LOAD,THROTTLE PRESSRE)</v>
      </c>
      <c r="L2" s="14"/>
      <c r="M2" s="14"/>
      <c r="N2" s="14"/>
      <c r="O2" s="13">
        <f>Q51</f>
        <v>0.99715146340190564</v>
      </c>
    </row>
    <row r="3" spans="1:22" ht="23.25" x14ac:dyDescent="0.35">
      <c r="A3" s="2">
        <v>1200</v>
      </c>
      <c r="B3" s="2">
        <v>30</v>
      </c>
      <c r="C3" s="2">
        <v>74</v>
      </c>
      <c r="D3" s="2">
        <v>88</v>
      </c>
      <c r="E3" s="2">
        <v>10</v>
      </c>
      <c r="F3" s="2">
        <v>90</v>
      </c>
      <c r="G3" s="2">
        <v>4.2</v>
      </c>
      <c r="K3" s="14" t="str">
        <f>H37</f>
        <v>KITCHEN SINK (ALL VARIABLES)</v>
      </c>
      <c r="L3" s="14"/>
      <c r="M3" s="14"/>
      <c r="N3" s="14"/>
      <c r="O3" s="13">
        <f>I51</f>
        <v>0.98851071483564057</v>
      </c>
    </row>
    <row r="4" spans="1:22" x14ac:dyDescent="0.25">
      <c r="A4" s="2">
        <v>1400</v>
      </c>
      <c r="B4" s="2">
        <v>35</v>
      </c>
      <c r="C4" s="2">
        <v>236</v>
      </c>
      <c r="D4" s="2">
        <v>56</v>
      </c>
      <c r="E4" s="2">
        <v>15</v>
      </c>
      <c r="F4" s="2">
        <v>95</v>
      </c>
      <c r="G4" s="2">
        <v>5.25</v>
      </c>
    </row>
    <row r="5" spans="1:22" x14ac:dyDescent="0.25">
      <c r="A5" s="2">
        <v>1600</v>
      </c>
      <c r="B5" s="2">
        <v>40</v>
      </c>
      <c r="C5" s="2">
        <v>228</v>
      </c>
      <c r="D5" s="2">
        <v>77</v>
      </c>
      <c r="E5" s="2">
        <v>20</v>
      </c>
      <c r="F5" s="2">
        <v>98</v>
      </c>
      <c r="G5" s="2">
        <v>6.3</v>
      </c>
    </row>
    <row r="6" spans="1:22" x14ac:dyDescent="0.25">
      <c r="A6" s="2">
        <v>1800</v>
      </c>
      <c r="B6" s="2">
        <v>50</v>
      </c>
      <c r="C6" s="2">
        <v>11</v>
      </c>
      <c r="D6" s="2">
        <v>26</v>
      </c>
      <c r="E6" s="2">
        <v>30</v>
      </c>
      <c r="F6" s="2">
        <v>102</v>
      </c>
      <c r="G6" s="2">
        <v>7.75</v>
      </c>
    </row>
    <row r="7" spans="1:22" x14ac:dyDescent="0.25">
      <c r="A7" s="2">
        <v>2000</v>
      </c>
      <c r="B7" s="2">
        <v>60</v>
      </c>
      <c r="C7" s="2">
        <v>255</v>
      </c>
      <c r="D7" s="2">
        <v>85</v>
      </c>
      <c r="E7" s="2">
        <v>40</v>
      </c>
      <c r="F7" s="2">
        <v>105</v>
      </c>
      <c r="G7" s="2">
        <v>9.1999999999999993</v>
      </c>
    </row>
    <row r="8" spans="1:22" x14ac:dyDescent="0.25">
      <c r="A8" s="2">
        <v>2200</v>
      </c>
      <c r="B8" s="2">
        <v>70</v>
      </c>
      <c r="C8" s="2">
        <v>264</v>
      </c>
      <c r="D8" s="2">
        <v>10</v>
      </c>
      <c r="E8" s="2">
        <v>50</v>
      </c>
      <c r="F8" s="2">
        <v>108</v>
      </c>
      <c r="G8" s="2">
        <v>10.65</v>
      </c>
      <c r="T8" s="11" t="s">
        <v>49</v>
      </c>
      <c r="U8" s="11"/>
      <c r="V8" s="11"/>
    </row>
    <row r="9" spans="1:22" ht="15.75" thickBot="1" x14ac:dyDescent="0.3">
      <c r="A9" s="2">
        <v>2400</v>
      </c>
      <c r="B9" s="2">
        <v>75</v>
      </c>
      <c r="C9" s="2">
        <v>279</v>
      </c>
      <c r="D9" s="2">
        <v>64</v>
      </c>
      <c r="E9" s="2">
        <v>60</v>
      </c>
      <c r="F9" s="2">
        <v>110</v>
      </c>
      <c r="G9" s="2">
        <v>11.4</v>
      </c>
      <c r="T9" s="3" t="s">
        <v>48</v>
      </c>
    </row>
    <row r="10" spans="1:22" x14ac:dyDescent="0.25">
      <c r="A10" s="2">
        <v>2600</v>
      </c>
      <c r="B10" s="2">
        <v>80</v>
      </c>
      <c r="C10" s="2">
        <v>143</v>
      </c>
      <c r="D10" s="2">
        <v>58</v>
      </c>
      <c r="E10" s="2">
        <v>70</v>
      </c>
      <c r="F10" s="2">
        <v>112</v>
      </c>
      <c r="G10" s="2">
        <v>12.5</v>
      </c>
      <c r="T10" s="10" t="s">
        <v>44</v>
      </c>
      <c r="U10" s="10"/>
    </row>
    <row r="11" spans="1:22" x14ac:dyDescent="0.25">
      <c r="A11" s="2">
        <v>2800</v>
      </c>
      <c r="B11" s="2">
        <v>85</v>
      </c>
      <c r="C11" s="2">
        <v>67</v>
      </c>
      <c r="D11" s="2">
        <v>64</v>
      </c>
      <c r="E11" s="2">
        <v>80</v>
      </c>
      <c r="F11" s="2">
        <v>115</v>
      </c>
      <c r="G11" s="2">
        <v>13.6</v>
      </c>
      <c r="T11" t="s">
        <v>43</v>
      </c>
      <c r="U11">
        <v>0.99942434451803641</v>
      </c>
    </row>
    <row r="12" spans="1:22" x14ac:dyDescent="0.25">
      <c r="A12" s="2">
        <v>3000</v>
      </c>
      <c r="B12" s="2">
        <v>90</v>
      </c>
      <c r="C12" s="2">
        <v>33</v>
      </c>
      <c r="D12" s="2">
        <v>9</v>
      </c>
      <c r="E12" s="2">
        <v>90</v>
      </c>
      <c r="F12" s="2">
        <v>118</v>
      </c>
      <c r="G12" s="2">
        <v>14.7</v>
      </c>
      <c r="T12" t="s">
        <v>42</v>
      </c>
      <c r="U12">
        <v>0.99884902041530677</v>
      </c>
    </row>
    <row r="13" spans="1:22" x14ac:dyDescent="0.25">
      <c r="A13" s="2">
        <v>1500</v>
      </c>
      <c r="B13" s="2">
        <v>33</v>
      </c>
      <c r="C13" s="2">
        <v>157</v>
      </c>
      <c r="D13" s="2">
        <v>1</v>
      </c>
      <c r="E13" s="2">
        <v>12</v>
      </c>
      <c r="F13" s="2">
        <v>93</v>
      </c>
      <c r="G13" s="2">
        <v>4.8</v>
      </c>
      <c r="T13" t="s">
        <v>41</v>
      </c>
      <c r="U13" s="3">
        <v>0.99827353062296031</v>
      </c>
    </row>
    <row r="14" spans="1:22" x14ac:dyDescent="0.25">
      <c r="A14" s="2">
        <v>1700</v>
      </c>
      <c r="B14" s="2">
        <v>45</v>
      </c>
      <c r="C14" s="2">
        <v>165</v>
      </c>
      <c r="D14" s="2">
        <v>95</v>
      </c>
      <c r="E14" s="2">
        <v>25</v>
      </c>
      <c r="F14" s="2">
        <v>100</v>
      </c>
      <c r="G14" s="2">
        <v>7</v>
      </c>
      <c r="T14" t="s">
        <v>26</v>
      </c>
      <c r="U14">
        <v>0.16131267175299457</v>
      </c>
    </row>
    <row r="15" spans="1:22" ht="15.75" thickBot="1" x14ac:dyDescent="0.3">
      <c r="A15" s="2">
        <v>1900</v>
      </c>
      <c r="B15" s="2">
        <v>55</v>
      </c>
      <c r="C15" s="2">
        <v>298</v>
      </c>
      <c r="D15" s="2">
        <v>60</v>
      </c>
      <c r="E15" s="2">
        <v>35</v>
      </c>
      <c r="F15" s="2">
        <v>103</v>
      </c>
      <c r="G15" s="2">
        <v>8.5</v>
      </c>
      <c r="T15" s="1" t="s">
        <v>38</v>
      </c>
      <c r="U15" s="1">
        <v>10</v>
      </c>
    </row>
    <row r="16" spans="1:22" x14ac:dyDescent="0.25">
      <c r="A16" s="2">
        <v>2100</v>
      </c>
      <c r="B16" s="2">
        <v>65</v>
      </c>
      <c r="C16" s="2">
        <v>90</v>
      </c>
      <c r="D16" s="2">
        <v>62</v>
      </c>
      <c r="E16" s="2">
        <v>45</v>
      </c>
      <c r="F16" s="2">
        <v>106</v>
      </c>
      <c r="G16" s="2">
        <v>10</v>
      </c>
    </row>
    <row r="17" spans="1:28" ht="15.75" thickBot="1" x14ac:dyDescent="0.3">
      <c r="A17" s="2">
        <v>2300</v>
      </c>
      <c r="B17" s="2">
        <v>72</v>
      </c>
      <c r="C17" s="2">
        <v>34</v>
      </c>
      <c r="D17" s="2">
        <v>0</v>
      </c>
      <c r="E17" s="2">
        <v>55</v>
      </c>
      <c r="F17" s="2">
        <v>109</v>
      </c>
      <c r="G17" s="2">
        <v>11.25</v>
      </c>
      <c r="T17" t="s">
        <v>35</v>
      </c>
    </row>
    <row r="18" spans="1:28" x14ac:dyDescent="0.25">
      <c r="A18" s="2">
        <v>2500</v>
      </c>
      <c r="B18" s="2">
        <v>78</v>
      </c>
      <c r="C18" s="2">
        <v>296</v>
      </c>
      <c r="D18" s="2">
        <v>64</v>
      </c>
      <c r="E18" s="2">
        <v>65</v>
      </c>
      <c r="F18" s="2">
        <v>111</v>
      </c>
      <c r="G18" s="2">
        <v>12.15</v>
      </c>
      <c r="T18" s="6"/>
      <c r="U18" s="6" t="s">
        <v>34</v>
      </c>
      <c r="V18" s="6" t="s">
        <v>33</v>
      </c>
      <c r="W18" s="6" t="s">
        <v>32</v>
      </c>
      <c r="X18" s="6" t="s">
        <v>31</v>
      </c>
      <c r="Y18" s="6" t="s">
        <v>30</v>
      </c>
    </row>
    <row r="19" spans="1:28" x14ac:dyDescent="0.25">
      <c r="A19" s="2">
        <v>2700</v>
      </c>
      <c r="B19" s="2">
        <v>83</v>
      </c>
      <c r="C19" s="2">
        <v>55</v>
      </c>
      <c r="D19" s="2">
        <v>73</v>
      </c>
      <c r="E19" s="2">
        <v>75</v>
      </c>
      <c r="F19" s="2">
        <v>113</v>
      </c>
      <c r="G19" s="2">
        <v>13.3</v>
      </c>
      <c r="T19" t="s">
        <v>29</v>
      </c>
      <c r="U19">
        <v>3</v>
      </c>
      <c r="V19">
        <v>135.49411933159146</v>
      </c>
      <c r="W19">
        <v>45.164706443863821</v>
      </c>
      <c r="X19">
        <v>1735.6502820708283</v>
      </c>
      <c r="Y19">
        <v>3.3339830721644094E-9</v>
      </c>
    </row>
    <row r="20" spans="1:28" x14ac:dyDescent="0.25">
      <c r="A20" s="2">
        <v>2900</v>
      </c>
      <c r="B20" s="2">
        <v>88</v>
      </c>
      <c r="C20" s="2">
        <v>16</v>
      </c>
      <c r="D20" s="2">
        <v>58</v>
      </c>
      <c r="E20" s="2">
        <v>85</v>
      </c>
      <c r="F20" s="2">
        <v>116</v>
      </c>
      <c r="G20" s="2">
        <v>14.45</v>
      </c>
      <c r="T20" t="s">
        <v>8</v>
      </c>
      <c r="U20">
        <v>6</v>
      </c>
      <c r="V20">
        <v>0.15613066840853626</v>
      </c>
      <c r="W20">
        <v>2.6021778068089377E-2</v>
      </c>
    </row>
    <row r="21" spans="1:28" ht="15.75" thickBot="1" x14ac:dyDescent="0.3">
      <c r="A21" s="2">
        <v>3100</v>
      </c>
      <c r="B21" s="2">
        <v>92</v>
      </c>
      <c r="C21" s="2">
        <v>157</v>
      </c>
      <c r="D21" s="2">
        <v>40</v>
      </c>
      <c r="E21" s="2">
        <v>95</v>
      </c>
      <c r="F21" s="2">
        <v>119</v>
      </c>
      <c r="G21" s="2">
        <v>15.6</v>
      </c>
      <c r="T21" s="1" t="s">
        <v>28</v>
      </c>
      <c r="U21" s="1">
        <v>9</v>
      </c>
      <c r="V21" s="1">
        <v>135.65025</v>
      </c>
      <c r="W21" s="1"/>
      <c r="X21" s="1"/>
      <c r="Y21" s="1"/>
    </row>
    <row r="22" spans="1:28" ht="15.75" thickBot="1" x14ac:dyDescent="0.3">
      <c r="A22" s="2">
        <v>3200</v>
      </c>
      <c r="B22" s="2">
        <v>94</v>
      </c>
      <c r="C22" s="2">
        <v>180</v>
      </c>
      <c r="D22" s="2">
        <v>29</v>
      </c>
      <c r="E22" s="2">
        <v>98</v>
      </c>
      <c r="F22" s="2">
        <v>120</v>
      </c>
      <c r="G22" s="2">
        <v>16.05</v>
      </c>
    </row>
    <row r="23" spans="1:28" x14ac:dyDescent="0.25">
      <c r="T23" s="6"/>
      <c r="U23" s="6" t="s">
        <v>27</v>
      </c>
      <c r="V23" s="6" t="s">
        <v>26</v>
      </c>
      <c r="W23" s="6" t="s">
        <v>25</v>
      </c>
      <c r="X23" s="6" t="s">
        <v>24</v>
      </c>
      <c r="Y23" s="6" t="s">
        <v>23</v>
      </c>
      <c r="Z23" s="6" t="s">
        <v>22</v>
      </c>
      <c r="AA23" s="6" t="s">
        <v>21</v>
      </c>
      <c r="AB23" s="6" t="s">
        <v>20</v>
      </c>
    </row>
    <row r="24" spans="1:28" x14ac:dyDescent="0.25">
      <c r="A24" s="12" t="s">
        <v>47</v>
      </c>
      <c r="B24" s="12"/>
      <c r="C24" s="12"/>
      <c r="D24" s="12"/>
      <c r="E24" s="12"/>
      <c r="F24" s="12"/>
      <c r="G24" s="12"/>
      <c r="H24" s="9"/>
      <c r="I24" s="9"/>
      <c r="J24" s="9"/>
      <c r="L24" s="12" t="s">
        <v>47</v>
      </c>
      <c r="M24" s="12"/>
      <c r="N24" s="12"/>
      <c r="O24" s="12"/>
      <c r="T24" t="s">
        <v>7</v>
      </c>
      <c r="U24">
        <v>-11.219509123752649</v>
      </c>
      <c r="V24">
        <v>3.8957959107711355</v>
      </c>
      <c r="W24">
        <v>-2.8799016634143588</v>
      </c>
      <c r="X24">
        <v>2.8061344407058861E-2</v>
      </c>
      <c r="Y24">
        <v>-20.752178307460653</v>
      </c>
      <c r="Z24">
        <v>-1.6868399400446474</v>
      </c>
      <c r="AA24">
        <v>-20.752178307460653</v>
      </c>
      <c r="AB24">
        <v>-1.6868399400446474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L25" s="9" t="s">
        <v>1</v>
      </c>
      <c r="M25" s="9" t="s">
        <v>4</v>
      </c>
      <c r="N25" s="9" t="s">
        <v>5</v>
      </c>
      <c r="O25" s="9" t="s">
        <v>6</v>
      </c>
      <c r="T25" t="s">
        <v>19</v>
      </c>
      <c r="U25">
        <v>3.7450734949244953E-2</v>
      </c>
      <c r="V25">
        <v>2.4464846413442497E-2</v>
      </c>
      <c r="W25">
        <v>1.5307978769352586</v>
      </c>
      <c r="X25">
        <v>0.17669710349769843</v>
      </c>
      <c r="Y25">
        <v>-2.2412587676248999E-2</v>
      </c>
      <c r="Z25">
        <v>9.7314057574738905E-2</v>
      </c>
      <c r="AA25">
        <v>-2.2412587676248999E-2</v>
      </c>
      <c r="AB25">
        <v>9.7314057574738905E-2</v>
      </c>
    </row>
    <row r="26" spans="1:28" x14ac:dyDescent="0.25">
      <c r="A26">
        <v>1200</v>
      </c>
      <c r="B26">
        <v>30</v>
      </c>
      <c r="C26">
        <v>74</v>
      </c>
      <c r="D26">
        <v>88</v>
      </c>
      <c r="E26">
        <v>10</v>
      </c>
      <c r="F26">
        <v>90</v>
      </c>
      <c r="G26">
        <v>4.2</v>
      </c>
      <c r="L26">
        <v>30</v>
      </c>
      <c r="M26">
        <v>10</v>
      </c>
      <c r="N26">
        <v>90</v>
      </c>
      <c r="O26">
        <v>4.2</v>
      </c>
      <c r="T26" t="s">
        <v>18</v>
      </c>
      <c r="U26">
        <v>5.3923300992829042E-2</v>
      </c>
      <c r="V26">
        <v>1.1860117299704707E-2</v>
      </c>
      <c r="W26">
        <v>4.546607729939705</v>
      </c>
      <c r="X26">
        <v>3.9058291282346911E-3</v>
      </c>
      <c r="Y26">
        <v>2.4902639416212118E-2</v>
      </c>
      <c r="Z26">
        <v>8.2943962569445973E-2</v>
      </c>
      <c r="AA26">
        <v>2.4902639416212118E-2</v>
      </c>
      <c r="AB26">
        <v>8.2943962569445973E-2</v>
      </c>
    </row>
    <row r="27" spans="1:28" ht="15.75" thickBot="1" x14ac:dyDescent="0.3">
      <c r="A27">
        <v>1600</v>
      </c>
      <c r="B27">
        <v>40</v>
      </c>
      <c r="C27">
        <v>228</v>
      </c>
      <c r="D27">
        <v>77</v>
      </c>
      <c r="E27">
        <v>20</v>
      </c>
      <c r="F27">
        <v>98</v>
      </c>
      <c r="G27">
        <v>6.3</v>
      </c>
      <c r="L27">
        <v>40</v>
      </c>
      <c r="M27">
        <v>20</v>
      </c>
      <c r="N27">
        <v>98</v>
      </c>
      <c r="O27">
        <v>6.3</v>
      </c>
      <c r="T27" s="1" t="s">
        <v>16</v>
      </c>
      <c r="U27" s="1">
        <v>0.15255673063099981</v>
      </c>
      <c r="V27" s="1">
        <v>4.8440774006794737E-2</v>
      </c>
      <c r="W27" s="1">
        <v>3.1493454379899224</v>
      </c>
      <c r="X27" s="1">
        <v>1.983118819893858E-2</v>
      </c>
      <c r="Y27" s="1">
        <v>3.4026426635138565E-2</v>
      </c>
      <c r="Z27" s="1">
        <v>0.27108703462686107</v>
      </c>
      <c r="AA27" s="1">
        <v>3.4026426635138565E-2</v>
      </c>
      <c r="AB27" s="1">
        <v>0.27108703462686107</v>
      </c>
    </row>
    <row r="28" spans="1:28" x14ac:dyDescent="0.25">
      <c r="A28">
        <v>2000</v>
      </c>
      <c r="B28">
        <v>60</v>
      </c>
      <c r="C28">
        <v>255</v>
      </c>
      <c r="D28">
        <v>85</v>
      </c>
      <c r="E28">
        <v>40</v>
      </c>
      <c r="F28">
        <v>105</v>
      </c>
      <c r="G28">
        <v>9.1999999999999993</v>
      </c>
      <c r="L28">
        <v>60</v>
      </c>
      <c r="M28">
        <v>40</v>
      </c>
      <c r="N28">
        <v>105</v>
      </c>
      <c r="O28">
        <v>9.1999999999999993</v>
      </c>
    </row>
    <row r="29" spans="1:28" x14ac:dyDescent="0.25">
      <c r="A29">
        <v>2400</v>
      </c>
      <c r="B29">
        <v>75</v>
      </c>
      <c r="C29">
        <v>279</v>
      </c>
      <c r="D29">
        <v>64</v>
      </c>
      <c r="E29">
        <v>60</v>
      </c>
      <c r="F29">
        <v>110</v>
      </c>
      <c r="G29">
        <v>11.4</v>
      </c>
      <c r="L29">
        <v>75</v>
      </c>
      <c r="M29">
        <v>60</v>
      </c>
      <c r="N29">
        <v>110</v>
      </c>
      <c r="O29">
        <v>11.4</v>
      </c>
    </row>
    <row r="30" spans="1:28" x14ac:dyDescent="0.25">
      <c r="A30">
        <v>2800</v>
      </c>
      <c r="B30">
        <v>85</v>
      </c>
      <c r="C30">
        <v>67</v>
      </c>
      <c r="D30">
        <v>64</v>
      </c>
      <c r="E30">
        <v>80</v>
      </c>
      <c r="F30">
        <v>115</v>
      </c>
      <c r="G30">
        <v>13.6</v>
      </c>
      <c r="L30">
        <v>85</v>
      </c>
      <c r="M30">
        <v>80</v>
      </c>
      <c r="N30">
        <v>115</v>
      </c>
      <c r="O30">
        <v>13.6</v>
      </c>
      <c r="T30" s="11" t="s">
        <v>46</v>
      </c>
      <c r="U30" s="11"/>
      <c r="V30" s="11"/>
    </row>
    <row r="31" spans="1:28" ht="15.75" thickBot="1" x14ac:dyDescent="0.3">
      <c r="A31">
        <v>1500</v>
      </c>
      <c r="B31">
        <v>33</v>
      </c>
      <c r="C31">
        <v>157</v>
      </c>
      <c r="D31">
        <v>1</v>
      </c>
      <c r="E31">
        <v>12</v>
      </c>
      <c r="F31">
        <v>93</v>
      </c>
      <c r="G31">
        <v>4.8</v>
      </c>
      <c r="L31">
        <v>33</v>
      </c>
      <c r="M31">
        <v>12</v>
      </c>
      <c r="N31">
        <v>93</v>
      </c>
      <c r="O31">
        <v>4.8</v>
      </c>
      <c r="T31" s="3" t="s">
        <v>45</v>
      </c>
    </row>
    <row r="32" spans="1:28" x14ac:dyDescent="0.25">
      <c r="A32">
        <v>1900</v>
      </c>
      <c r="B32">
        <v>55</v>
      </c>
      <c r="C32">
        <v>298</v>
      </c>
      <c r="D32">
        <v>60</v>
      </c>
      <c r="E32">
        <v>35</v>
      </c>
      <c r="F32">
        <v>103</v>
      </c>
      <c r="G32">
        <v>8.5</v>
      </c>
      <c r="L32">
        <v>55</v>
      </c>
      <c r="M32">
        <v>35</v>
      </c>
      <c r="N32">
        <v>103</v>
      </c>
      <c r="O32">
        <v>8.5</v>
      </c>
      <c r="T32" s="10" t="s">
        <v>44</v>
      </c>
      <c r="U32" s="10"/>
    </row>
    <row r="33" spans="1:28" x14ac:dyDescent="0.25">
      <c r="A33">
        <v>2300</v>
      </c>
      <c r="B33">
        <v>72</v>
      </c>
      <c r="C33">
        <v>34</v>
      </c>
      <c r="D33">
        <v>0</v>
      </c>
      <c r="E33">
        <v>55</v>
      </c>
      <c r="F33">
        <v>109</v>
      </c>
      <c r="G33">
        <v>11.25</v>
      </c>
      <c r="L33">
        <v>72</v>
      </c>
      <c r="M33">
        <v>55</v>
      </c>
      <c r="N33">
        <v>109</v>
      </c>
      <c r="O33">
        <v>11.25</v>
      </c>
      <c r="T33" t="s">
        <v>43</v>
      </c>
      <c r="U33">
        <v>0.99957980266952051</v>
      </c>
    </row>
    <row r="34" spans="1:28" x14ac:dyDescent="0.25">
      <c r="A34">
        <v>2700</v>
      </c>
      <c r="B34">
        <v>83</v>
      </c>
      <c r="C34">
        <v>55</v>
      </c>
      <c r="D34">
        <v>73</v>
      </c>
      <c r="E34">
        <v>75</v>
      </c>
      <c r="F34">
        <v>113</v>
      </c>
      <c r="G34">
        <v>13.3</v>
      </c>
      <c r="L34">
        <v>83</v>
      </c>
      <c r="M34">
        <v>75</v>
      </c>
      <c r="N34">
        <v>113</v>
      </c>
      <c r="O34">
        <v>13.3</v>
      </c>
      <c r="T34" t="s">
        <v>42</v>
      </c>
      <c r="U34">
        <v>0.99915978190483756</v>
      </c>
    </row>
    <row r="35" spans="1:28" x14ac:dyDescent="0.25">
      <c r="A35">
        <v>3100</v>
      </c>
      <c r="B35">
        <v>92</v>
      </c>
      <c r="C35">
        <v>157</v>
      </c>
      <c r="D35">
        <v>40</v>
      </c>
      <c r="E35">
        <v>95</v>
      </c>
      <c r="F35">
        <v>119</v>
      </c>
      <c r="G35">
        <v>15.6</v>
      </c>
      <c r="L35">
        <v>92</v>
      </c>
      <c r="M35">
        <v>95</v>
      </c>
      <c r="N35">
        <v>119</v>
      </c>
      <c r="O35">
        <v>15.6</v>
      </c>
      <c r="T35" t="s">
        <v>41</v>
      </c>
      <c r="U35">
        <v>0.99747934571451269</v>
      </c>
    </row>
    <row r="36" spans="1:28" x14ac:dyDescent="0.25">
      <c r="T36" t="s">
        <v>26</v>
      </c>
      <c r="U36">
        <v>0.19491519067131483</v>
      </c>
    </row>
    <row r="37" spans="1:28" ht="15.75" thickBot="1" x14ac:dyDescent="0.3">
      <c r="A37" s="8" t="s">
        <v>52</v>
      </c>
      <c r="B37" s="8"/>
      <c r="C37" s="8"/>
      <c r="D37" s="8"/>
      <c r="E37" s="8"/>
      <c r="F37" s="8"/>
      <c r="G37" s="8"/>
      <c r="H37" s="7" t="s">
        <v>40</v>
      </c>
      <c r="I37" s="7"/>
      <c r="J37" s="9"/>
      <c r="L37" s="8" t="s">
        <v>52</v>
      </c>
      <c r="M37" s="8"/>
      <c r="N37" s="8"/>
      <c r="O37" s="8"/>
      <c r="P37" s="7" t="s">
        <v>39</v>
      </c>
      <c r="Q37" s="7"/>
      <c r="T37" s="1" t="s">
        <v>38</v>
      </c>
      <c r="U37" s="1">
        <v>10</v>
      </c>
    </row>
    <row r="38" spans="1:28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s="5" t="s">
        <v>6</v>
      </c>
      <c r="H38" s="3" t="s">
        <v>37</v>
      </c>
      <c r="I38" t="s">
        <v>36</v>
      </c>
      <c r="L38" t="s">
        <v>1</v>
      </c>
      <c r="M38" t="s">
        <v>4</v>
      </c>
      <c r="N38" t="s">
        <v>5</v>
      </c>
      <c r="O38" s="5" t="s">
        <v>6</v>
      </c>
      <c r="P38" s="3" t="s">
        <v>37</v>
      </c>
      <c r="Q38" t="s">
        <v>36</v>
      </c>
    </row>
    <row r="39" spans="1:28" ht="15.75" thickBot="1" x14ac:dyDescent="0.3">
      <c r="A39">
        <v>1400</v>
      </c>
      <c r="B39">
        <v>35</v>
      </c>
      <c r="C39">
        <v>236</v>
      </c>
      <c r="D39">
        <v>56</v>
      </c>
      <c r="E39">
        <v>15</v>
      </c>
      <c r="F39">
        <v>95</v>
      </c>
      <c r="G39" s="5">
        <v>5.25</v>
      </c>
      <c r="H39">
        <f>($U$46+A39*$U$47+B39*$U$48+C39*$U$49+$U$50*D39+$U$51*E39+$U$52*F39)</f>
        <v>5.4804362463042118</v>
      </c>
      <c r="I39">
        <f>(H39-G39)^2</f>
        <v>5.3100863610775359E-2</v>
      </c>
      <c r="L39">
        <v>35</v>
      </c>
      <c r="M39">
        <v>15</v>
      </c>
      <c r="N39">
        <v>95</v>
      </c>
      <c r="O39" s="5">
        <v>5.25</v>
      </c>
      <c r="P39">
        <f>($U$24+L39*$U$25+M39*$U$26+N39*$U$27)</f>
        <v>5.3930055243083412</v>
      </c>
      <c r="Q39">
        <f>(P39-O39)^2</f>
        <v>2.0450579982703575E-2</v>
      </c>
      <c r="T39" t="s">
        <v>35</v>
      </c>
    </row>
    <row r="40" spans="1:28" x14ac:dyDescent="0.25">
      <c r="A40">
        <v>1800</v>
      </c>
      <c r="B40">
        <v>50</v>
      </c>
      <c r="C40">
        <v>11</v>
      </c>
      <c r="D40">
        <v>26</v>
      </c>
      <c r="E40">
        <v>30</v>
      </c>
      <c r="F40">
        <v>102</v>
      </c>
      <c r="G40" s="5">
        <v>7.75</v>
      </c>
      <c r="H40">
        <f>($U$46+A40*$U$47+B40*$U$48+C40*$U$49+$U$50*D40+$U$51*E40+$U$52*F40)</f>
        <v>8.0559660483220661</v>
      </c>
      <c r="I40">
        <f>(H40-G40)^2</f>
        <v>9.3615222725820874E-2</v>
      </c>
      <c r="L40">
        <v>50</v>
      </c>
      <c r="M40">
        <v>30</v>
      </c>
      <c r="N40">
        <v>102</v>
      </c>
      <c r="O40" s="5">
        <v>7.75</v>
      </c>
      <c r="P40">
        <f>($U$24+L40*$U$25+M40*$U$26+N40*$U$27)</f>
        <v>7.8315131778564488</v>
      </c>
      <c r="Q40">
        <f>(P40-O40)^2</f>
        <v>6.644398164257063E-3</v>
      </c>
      <c r="T40" s="6"/>
      <c r="U40" s="6" t="s">
        <v>34</v>
      </c>
      <c r="V40" s="6" t="s">
        <v>33</v>
      </c>
      <c r="W40" s="6" t="s">
        <v>32</v>
      </c>
      <c r="X40" s="6" t="s">
        <v>31</v>
      </c>
      <c r="Y40" s="6" t="s">
        <v>30</v>
      </c>
    </row>
    <row r="41" spans="1:28" x14ac:dyDescent="0.25">
      <c r="A41">
        <v>2200</v>
      </c>
      <c r="B41">
        <v>70</v>
      </c>
      <c r="C41">
        <v>264</v>
      </c>
      <c r="D41">
        <v>10</v>
      </c>
      <c r="E41">
        <v>50</v>
      </c>
      <c r="F41">
        <v>108</v>
      </c>
      <c r="G41" s="5">
        <v>10.65</v>
      </c>
      <c r="H41">
        <f>($U$46+A41*$U$47+B41*$U$48+C41*$U$49+$U$50*D41+$U$51*E41+$U$52*F41)</f>
        <v>10.619838043765824</v>
      </c>
      <c r="I41">
        <f>(H41-G41)^2</f>
        <v>9.0974360387234522E-4</v>
      </c>
      <c r="L41">
        <v>70</v>
      </c>
      <c r="M41">
        <v>50</v>
      </c>
      <c r="N41">
        <v>108</v>
      </c>
      <c r="O41" s="5">
        <v>10.65</v>
      </c>
      <c r="P41">
        <f>($U$24+L41*$U$25+M41*$U$26+N41*$U$27)</f>
        <v>10.574334280483928</v>
      </c>
      <c r="Q41">
        <f>(P41-O41)^2</f>
        <v>5.7253011098849357E-3</v>
      </c>
      <c r="T41" t="s">
        <v>29</v>
      </c>
      <c r="U41">
        <v>6</v>
      </c>
      <c r="V41">
        <v>135.5362742053367</v>
      </c>
      <c r="W41">
        <v>22.589379034222784</v>
      </c>
      <c r="X41">
        <v>594.58358946179453</v>
      </c>
      <c r="Y41">
        <v>1.0644570215223226E-4</v>
      </c>
    </row>
    <row r="42" spans="1:28" x14ac:dyDescent="0.25">
      <c r="A42">
        <v>2600</v>
      </c>
      <c r="B42">
        <v>80</v>
      </c>
      <c r="C42">
        <v>143</v>
      </c>
      <c r="D42">
        <v>58</v>
      </c>
      <c r="E42">
        <v>70</v>
      </c>
      <c r="F42">
        <v>112</v>
      </c>
      <c r="G42" s="5">
        <v>12.5</v>
      </c>
      <c r="H42">
        <f>($U$46+A42*$U$47+B42*$U$48+C42*$U$49+$U$50*D42+$U$51*E42+$U$52*F42)</f>
        <v>12.590821897734827</v>
      </c>
      <c r="I42">
        <f>(H42-G42)^2</f>
        <v>8.2486171081553664E-3</v>
      </c>
      <c r="L42">
        <v>80</v>
      </c>
      <c r="M42">
        <v>70</v>
      </c>
      <c r="N42">
        <v>112</v>
      </c>
      <c r="O42" s="5">
        <v>12.5</v>
      </c>
      <c r="P42">
        <f>($U$24+L42*$U$25+M42*$U$26+N42*$U$27)</f>
        <v>12.637534572356959</v>
      </c>
      <c r="Q42">
        <f>(P42-O42)^2</f>
        <v>1.8915758593411526E-2</v>
      </c>
      <c r="T42" t="s">
        <v>8</v>
      </c>
      <c r="U42">
        <v>3</v>
      </c>
      <c r="V42">
        <v>0.11397579466330503</v>
      </c>
      <c r="W42">
        <v>3.7991931554435011E-2</v>
      </c>
    </row>
    <row r="43" spans="1:28" ht="15.75" thickBot="1" x14ac:dyDescent="0.3">
      <c r="A43">
        <v>3000</v>
      </c>
      <c r="B43">
        <v>90</v>
      </c>
      <c r="C43">
        <v>33</v>
      </c>
      <c r="D43">
        <v>9</v>
      </c>
      <c r="E43">
        <v>90</v>
      </c>
      <c r="F43">
        <v>118</v>
      </c>
      <c r="G43" s="5">
        <v>14.7</v>
      </c>
      <c r="H43">
        <f>($U$46+A43*$U$47+B43*$U$48+C43*$U$49+$U$50*D43+$U$51*E43+$U$52*F43)</f>
        <v>15.149465149691178</v>
      </c>
      <c r="I43">
        <f>(H43-G43)^2</f>
        <v>0.20201892078691355</v>
      </c>
      <c r="L43">
        <v>90</v>
      </c>
      <c r="M43">
        <v>90</v>
      </c>
      <c r="N43">
        <v>118</v>
      </c>
      <c r="O43" s="5">
        <v>14.7</v>
      </c>
      <c r="P43">
        <f>($U$24+L43*$U$25+M43*$U$26+N43*$U$27)</f>
        <v>15.005848325491986</v>
      </c>
      <c r="Q43">
        <f>(P43-O43)^2</f>
        <v>9.3543198206252037E-2</v>
      </c>
      <c r="T43" s="1" t="s">
        <v>28</v>
      </c>
      <c r="U43" s="1">
        <v>9</v>
      </c>
      <c r="V43" s="1">
        <v>135.65025</v>
      </c>
      <c r="W43" s="1"/>
      <c r="X43" s="1"/>
      <c r="Y43" s="1"/>
    </row>
    <row r="44" spans="1:28" ht="15.75" thickBot="1" x14ac:dyDescent="0.3">
      <c r="A44">
        <v>1700</v>
      </c>
      <c r="B44">
        <v>45</v>
      </c>
      <c r="C44">
        <v>165</v>
      </c>
      <c r="D44">
        <v>95</v>
      </c>
      <c r="E44">
        <v>25</v>
      </c>
      <c r="F44">
        <v>100</v>
      </c>
      <c r="G44" s="5">
        <v>7</v>
      </c>
      <c r="H44">
        <f>($U$46+A44*$U$47+B44*$U$48+C44*$U$49+$U$50*D44+$U$51*E44+$U$52*F44)</f>
        <v>7.0916966342925924</v>
      </c>
      <c r="I44">
        <f>(H44-G44)^2</f>
        <v>8.4082727405894418E-3</v>
      </c>
      <c r="L44">
        <v>45</v>
      </c>
      <c r="M44">
        <v>25</v>
      </c>
      <c r="N44">
        <v>100</v>
      </c>
      <c r="O44" s="5">
        <v>7</v>
      </c>
      <c r="P44">
        <f>($U$24+L44*$U$25+M44*$U$26+N44*$U$27)</f>
        <v>7.0695295368840796</v>
      </c>
      <c r="Q44">
        <f>(P44-O44)^2</f>
        <v>4.8343564993145842E-3</v>
      </c>
    </row>
    <row r="45" spans="1:28" x14ac:dyDescent="0.25">
      <c r="A45">
        <v>2100</v>
      </c>
      <c r="B45">
        <v>65</v>
      </c>
      <c r="C45">
        <v>90</v>
      </c>
      <c r="D45">
        <v>62</v>
      </c>
      <c r="E45">
        <v>45</v>
      </c>
      <c r="F45">
        <v>106</v>
      </c>
      <c r="G45" s="5">
        <v>10</v>
      </c>
      <c r="H45">
        <f>($U$46+A45*$U$47+B45*$U$48+C45*$U$49+$U$50*D45+$U$51*E45+$U$52*F45)</f>
        <v>9.8440395383241075</v>
      </c>
      <c r="I45">
        <f>(H45-G45)^2</f>
        <v>2.4323665606157535E-2</v>
      </c>
      <c r="L45">
        <v>65</v>
      </c>
      <c r="M45">
        <v>45</v>
      </c>
      <c r="N45">
        <v>106</v>
      </c>
      <c r="O45" s="5">
        <v>10</v>
      </c>
      <c r="P45">
        <f>($U$24+L45*$U$25+M45*$U$26+N45*$U$27)</f>
        <v>9.8123506395115569</v>
      </c>
      <c r="Q45">
        <f>(P45-O45)^2</f>
        <v>3.5212282491721654E-2</v>
      </c>
      <c r="T45" s="6"/>
      <c r="U45" s="6" t="s">
        <v>27</v>
      </c>
      <c r="V45" s="6" t="s">
        <v>26</v>
      </c>
      <c r="W45" s="6" t="s">
        <v>25</v>
      </c>
      <c r="X45" s="6" t="s">
        <v>24</v>
      </c>
      <c r="Y45" s="6" t="s">
        <v>23</v>
      </c>
      <c r="Z45" s="6" t="s">
        <v>22</v>
      </c>
      <c r="AA45" s="6" t="s">
        <v>21</v>
      </c>
      <c r="AB45" s="6" t="s">
        <v>20</v>
      </c>
    </row>
    <row r="46" spans="1:28" x14ac:dyDescent="0.25">
      <c r="A46">
        <v>2500</v>
      </c>
      <c r="B46">
        <v>78</v>
      </c>
      <c r="C46">
        <v>296</v>
      </c>
      <c r="D46">
        <v>64</v>
      </c>
      <c r="E46">
        <v>65</v>
      </c>
      <c r="F46">
        <v>111</v>
      </c>
      <c r="G46" s="5">
        <v>12.15</v>
      </c>
      <c r="H46">
        <f>($U$46+A46*$U$47+B46*$U$48+C46*$U$49+$U$50*D46+$U$51*E46+$U$52*F46)</f>
        <v>12.019624172847813</v>
      </c>
      <c r="I46">
        <f>(H46-G46)^2</f>
        <v>1.6997856305617082E-2</v>
      </c>
      <c r="L46">
        <v>78</v>
      </c>
      <c r="M46">
        <v>65</v>
      </c>
      <c r="N46">
        <v>111</v>
      </c>
      <c r="O46" s="5">
        <v>12.15</v>
      </c>
      <c r="P46">
        <f>($U$24+L46*$U$25+M46*$U$26+N46*$U$27)</f>
        <v>12.140459866863324</v>
      </c>
      <c r="Q46">
        <f>(P46-O46)^2</f>
        <v>9.1014140265507887E-5</v>
      </c>
      <c r="T46" t="s">
        <v>7</v>
      </c>
      <c r="U46">
        <v>-14.879862612818425</v>
      </c>
      <c r="V46">
        <v>6.3999264713084409</v>
      </c>
      <c r="W46">
        <v>-2.3250052449081173</v>
      </c>
      <c r="X46">
        <v>0.102614210641849</v>
      </c>
      <c r="Y46">
        <v>-35.247284965521374</v>
      </c>
      <c r="Z46">
        <v>5.4875597398845279</v>
      </c>
      <c r="AA46">
        <v>-35.247284965521374</v>
      </c>
      <c r="AB46">
        <v>5.4875597398845279</v>
      </c>
    </row>
    <row r="47" spans="1:28" x14ac:dyDescent="0.25">
      <c r="A47">
        <v>2900</v>
      </c>
      <c r="B47">
        <v>88</v>
      </c>
      <c r="C47">
        <v>16</v>
      </c>
      <c r="D47">
        <v>58</v>
      </c>
      <c r="E47">
        <v>85</v>
      </c>
      <c r="F47">
        <v>116</v>
      </c>
      <c r="G47" s="5">
        <v>14.45</v>
      </c>
      <c r="H47">
        <f>($U$46+A47*$U$47+B47*$U$48+C47*$U$49+$U$50*D47+$U$51*E47+$U$52*F47)</f>
        <v>14.373807943038219</v>
      </c>
      <c r="I47">
        <f>(H47-G47)^2</f>
        <v>5.8052295440671276E-3</v>
      </c>
      <c r="L47">
        <v>88</v>
      </c>
      <c r="M47">
        <v>85</v>
      </c>
      <c r="N47">
        <v>116</v>
      </c>
      <c r="O47" s="5">
        <v>14.45</v>
      </c>
      <c r="P47">
        <f>($U$24+L47*$U$25+M47*$U$26+N47*$U$27)</f>
        <v>14.356216889367353</v>
      </c>
      <c r="Q47">
        <f>(P47-O47)^2</f>
        <v>8.7952718399351808E-3</v>
      </c>
      <c r="T47" t="s">
        <v>19</v>
      </c>
      <c r="U47">
        <v>-1.1453544904472706E-3</v>
      </c>
      <c r="V47">
        <v>1.773501788834534E-3</v>
      </c>
      <c r="W47">
        <v>-0.64581524397556223</v>
      </c>
      <c r="X47">
        <v>0.56439551301073188</v>
      </c>
      <c r="Y47">
        <v>-6.7894287057377826E-3</v>
      </c>
      <c r="Z47">
        <v>4.498719724843241E-3</v>
      </c>
      <c r="AA47">
        <v>-6.7894287057377826E-3</v>
      </c>
      <c r="AB47">
        <v>4.498719724843241E-3</v>
      </c>
    </row>
    <row r="48" spans="1:28" x14ac:dyDescent="0.25">
      <c r="A48">
        <v>3200</v>
      </c>
      <c r="B48">
        <v>94</v>
      </c>
      <c r="C48">
        <v>180</v>
      </c>
      <c r="D48">
        <v>29</v>
      </c>
      <c r="E48">
        <v>98</v>
      </c>
      <c r="F48">
        <v>120</v>
      </c>
      <c r="G48" s="5">
        <v>16.05</v>
      </c>
      <c r="H48">
        <f>($U$46+A48*$U$47+B48*$U$48+C48*$U$49+$U$50*D48+$U$51*E48+$U$52*F48)</f>
        <v>15.881216668457727</v>
      </c>
      <c r="I48">
        <f>(H48-G48)^2</f>
        <v>2.8487813006509179E-2</v>
      </c>
      <c r="L48">
        <v>94</v>
      </c>
      <c r="M48">
        <v>98</v>
      </c>
      <c r="N48">
        <v>120</v>
      </c>
      <c r="O48" s="5">
        <v>16.05</v>
      </c>
      <c r="P48">
        <f>($U$24+L48*$U$25+M48*$U$26+N48*$U$27)</f>
        <v>15.892151134493599</v>
      </c>
      <c r="Q48">
        <f>(P48-O48)^2</f>
        <v>2.4916264341658216E-2</v>
      </c>
      <c r="T48" t="s">
        <v>18</v>
      </c>
      <c r="U48">
        <v>2.3796681654792772E-2</v>
      </c>
      <c r="V48">
        <v>3.2964993396469543E-2</v>
      </c>
      <c r="W48">
        <v>0.7218773372283257</v>
      </c>
      <c r="X48">
        <v>0.52254818356074273</v>
      </c>
      <c r="Y48">
        <v>-8.1112639783503596E-2</v>
      </c>
      <c r="Z48">
        <v>0.12870600309308913</v>
      </c>
      <c r="AA48">
        <v>-8.1112639783503596E-2</v>
      </c>
      <c r="AB48">
        <v>0.12870600309308913</v>
      </c>
    </row>
    <row r="49" spans="7:28" x14ac:dyDescent="0.25">
      <c r="I49">
        <f>SUM(I39:I48)</f>
        <v>0.44191620503847778</v>
      </c>
      <c r="O49" t="s">
        <v>17</v>
      </c>
      <c r="Q49">
        <f>SUM(Q39:Q48)</f>
        <v>0.21912842536940424</v>
      </c>
      <c r="T49" t="s">
        <v>16</v>
      </c>
      <c r="U49">
        <v>-4.8635133061836173E-4</v>
      </c>
      <c r="V49">
        <v>9.8174736562075182E-4</v>
      </c>
      <c r="W49">
        <v>-0.49539356829426812</v>
      </c>
      <c r="X49">
        <v>0.65433734051935444</v>
      </c>
      <c r="Y49">
        <v>-3.610709607060138E-3</v>
      </c>
      <c r="Z49">
        <v>2.6380069458234148E-3</v>
      </c>
      <c r="AA49">
        <v>-3.610709607060138E-3</v>
      </c>
      <c r="AB49">
        <v>2.6380069458234148E-3</v>
      </c>
    </row>
    <row r="50" spans="7:28" x14ac:dyDescent="0.25">
      <c r="I50">
        <f>_xlfn.VAR.S(G39:G48)</f>
        <v>12.821111111111097</v>
      </c>
      <c r="O50" t="s">
        <v>15</v>
      </c>
      <c r="Q50">
        <f>_xlfn.VAR.S(O39:O48)</f>
        <v>12.821111111111097</v>
      </c>
      <c r="T50" t="s">
        <v>14</v>
      </c>
      <c r="U50">
        <v>-1.7028042438198198E-3</v>
      </c>
      <c r="V50">
        <v>2.9555053396913924E-3</v>
      </c>
      <c r="W50">
        <v>-0.57614656314497581</v>
      </c>
      <c r="X50">
        <v>0.60489833132407922</v>
      </c>
      <c r="Y50">
        <v>-1.1108541292366964E-2</v>
      </c>
      <c r="Z50">
        <v>7.7029328047273247E-3</v>
      </c>
      <c r="AA50">
        <v>-1.1108541292366964E-2</v>
      </c>
      <c r="AB50">
        <v>7.7029328047273247E-3</v>
      </c>
    </row>
    <row r="51" spans="7:28" ht="23.25" x14ac:dyDescent="0.35">
      <c r="G51" s="2" t="s">
        <v>13</v>
      </c>
      <c r="H51" s="2" t="s">
        <v>10</v>
      </c>
      <c r="I51" s="4">
        <f>1-I49/I50/U42</f>
        <v>0.98851071483564057</v>
      </c>
      <c r="N51" s="2" t="s">
        <v>13</v>
      </c>
      <c r="O51" s="2" t="s">
        <v>10</v>
      </c>
      <c r="P51" s="2"/>
      <c r="Q51" s="4">
        <f>1-Q49/Q50/U20</f>
        <v>0.99715146340190564</v>
      </c>
      <c r="R51" s="3"/>
      <c r="S51" s="3"/>
      <c r="T51" t="s">
        <v>12</v>
      </c>
      <c r="U51">
        <v>6.791852121756238E-2</v>
      </c>
      <c r="V51">
        <v>3.4016633148675944E-2</v>
      </c>
      <c r="W51">
        <v>1.9966267949185919</v>
      </c>
      <c r="X51">
        <v>0.13978229551598093</v>
      </c>
      <c r="Y51">
        <v>-4.0337587264632727E-2</v>
      </c>
      <c r="Z51">
        <v>0.1761746296997575</v>
      </c>
      <c r="AA51">
        <v>-4.0337587264632727E-2</v>
      </c>
      <c r="AB51">
        <v>0.1761746296997575</v>
      </c>
    </row>
    <row r="52" spans="7:28" ht="15.75" thickBot="1" x14ac:dyDescent="0.3">
      <c r="G52" s="2" t="s">
        <v>11</v>
      </c>
      <c r="H52" s="2" t="s">
        <v>10</v>
      </c>
      <c r="I52" s="2">
        <f>U35</f>
        <v>0.99747934571451269</v>
      </c>
      <c r="N52" s="2" t="s">
        <v>11</v>
      </c>
      <c r="O52" s="2" t="s">
        <v>10</v>
      </c>
      <c r="P52" s="2"/>
      <c r="Q52" s="2">
        <f>U13</f>
        <v>0.99827353062296031</v>
      </c>
      <c r="T52" s="1" t="s">
        <v>9</v>
      </c>
      <c r="U52" s="1">
        <v>0.21391862548681553</v>
      </c>
      <c r="V52" s="1">
        <v>8.8751827723337284E-2</v>
      </c>
      <c r="W52" s="1">
        <v>2.4103010718117939</v>
      </c>
      <c r="X52" s="1">
        <v>9.4991365218614662E-2</v>
      </c>
      <c r="Y52" s="1">
        <v>-6.8529300738495474E-2</v>
      </c>
      <c r="Z52" s="1">
        <v>0.49636655171212651</v>
      </c>
      <c r="AA52" s="1">
        <v>-6.8529300738495474E-2</v>
      </c>
      <c r="AB52" s="1">
        <v>0.49636655171212651</v>
      </c>
    </row>
  </sheetData>
  <mergeCells count="10">
    <mergeCell ref="A37:G37"/>
    <mergeCell ref="H37:I37"/>
    <mergeCell ref="L37:O37"/>
    <mergeCell ref="P37:Q37"/>
    <mergeCell ref="A1:G1"/>
    <mergeCell ref="K1:O1"/>
    <mergeCell ref="K2:N2"/>
    <mergeCell ref="K3:N3"/>
    <mergeCell ref="A24:G24"/>
    <mergeCell ref="L24:O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Q12 ANS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Merrick Jones</dc:creator>
  <cp:lastModifiedBy>Merrick Jones</cp:lastModifiedBy>
  <dcterms:created xsi:type="dcterms:W3CDTF">2025-05-25T05:24:42Z</dcterms:created>
  <dcterms:modified xsi:type="dcterms:W3CDTF">2025-05-25T06:14:43Z</dcterms:modified>
</cp:coreProperties>
</file>