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Theo\Documents\GitHub\ENGG2100\Assignment 5\"/>
    </mc:Choice>
  </mc:AlternateContent>
  <xr:revisionPtr revIDLastSave="0" documentId="13_ncr:1_{001C4EF3-83F8-4D97-BB8F-C2B6255F42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8" i="7" s="1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E12" i="7" s="1"/>
  <c r="C13" i="7"/>
  <c r="E13" i="7" s="1"/>
  <c r="C14" i="7"/>
  <c r="E14" i="7" s="1"/>
  <c r="C15" i="7"/>
  <c r="E15" i="7" s="1"/>
  <c r="C16" i="7"/>
  <c r="E16" i="7" s="1"/>
  <c r="C17" i="7"/>
  <c r="E17" i="7" s="1"/>
  <c r="C18" i="7"/>
  <c r="E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E24" i="7" s="1"/>
  <c r="C25" i="7"/>
  <c r="E25" i="7" s="1"/>
  <c r="C26" i="7"/>
  <c r="D26" i="7" s="1"/>
  <c r="C27" i="7"/>
  <c r="D27" i="7" s="1"/>
  <c r="C3" i="7"/>
  <c r="E3" i="7" s="1"/>
  <c r="D18" i="7" l="1"/>
  <c r="D17" i="7"/>
  <c r="D15" i="7"/>
  <c r="D14" i="7"/>
  <c r="E27" i="7"/>
  <c r="E26" i="7"/>
  <c r="E11" i="7"/>
  <c r="D16" i="7"/>
  <c r="E10" i="7"/>
  <c r="E8" i="7"/>
  <c r="E7" i="7"/>
  <c r="D13" i="7"/>
  <c r="E22" i="7"/>
  <c r="E6" i="7"/>
  <c r="E9" i="7"/>
  <c r="D3" i="7"/>
  <c r="H5" i="7" s="1"/>
  <c r="D12" i="7"/>
  <c r="E21" i="7"/>
  <c r="E5" i="7"/>
  <c r="E20" i="7"/>
  <c r="E4" i="7"/>
  <c r="E23" i="7"/>
  <c r="E19" i="7"/>
  <c r="H3" i="7"/>
  <c r="H7" i="7" s="1"/>
  <c r="D25" i="7"/>
  <c r="D24" i="7"/>
  <c r="H6" i="7" l="1"/>
  <c r="H10" i="7" s="1"/>
  <c r="H11" i="7" s="1"/>
</calcChain>
</file>

<file path=xl/sharedStrings.xml><?xml version="1.0" encoding="utf-8"?>
<sst xmlns="http://schemas.openxmlformats.org/spreadsheetml/2006/main" count="17" uniqueCount="15">
  <si>
    <t>Number of cycles</t>
  </si>
  <si>
    <t>Shear stress decrease (Mpa)</t>
  </si>
  <si>
    <t>X</t>
  </si>
  <si>
    <t>Y</t>
  </si>
  <si>
    <t>w</t>
  </si>
  <si>
    <t>w*y</t>
  </si>
  <si>
    <t>w^2</t>
  </si>
  <si>
    <t>theta 1</t>
  </si>
  <si>
    <t>sums</t>
  </si>
  <si>
    <t>y</t>
  </si>
  <si>
    <t>w&amp;y</t>
  </si>
  <si>
    <t>w bar</t>
  </si>
  <si>
    <t>y bar</t>
  </si>
  <si>
    <t>theta 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</si>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</sst>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J8" sqref="J8"/>
    </sheetView>
  </sheetViews>
  <sheetFormatPr defaultColWidth="9" defaultRowHeight="15"/>
  <cols>
    <col min="1" max="1" width="13.140625" customWidth="1"/>
    <col min="2" max="2" width="16.85546875" customWidth="1"/>
  </cols>
  <sheetData>
    <row r="1" spans="1:8" ht="30">
      <c r="A1" s="1" t="s">
        <v>0</v>
      </c>
      <c r="B1" s="1" t="s">
        <v>1</v>
      </c>
    </row>
    <row r="2" spans="1:8">
      <c r="A2" s="2" t="s">
        <v>2</v>
      </c>
      <c r="B2" s="2" t="s">
        <v>3</v>
      </c>
      <c r="C2" t="s">
        <v>4</v>
      </c>
      <c r="D2" t="s">
        <v>5</v>
      </c>
      <c r="E2" t="s">
        <v>6</v>
      </c>
      <c r="H2" t="s">
        <v>8</v>
      </c>
    </row>
    <row r="3" spans="1:8">
      <c r="A3" s="2">
        <v>6107</v>
      </c>
      <c r="B3" s="3">
        <v>409</v>
      </c>
      <c r="C3">
        <f>LN(A3)</f>
        <v>8.7171909332231348</v>
      </c>
      <c r="D3">
        <f>C3*B3</f>
        <v>3565.3310916882619</v>
      </c>
      <c r="E3">
        <f>C3^2</f>
        <v>75.989417766267621</v>
      </c>
      <c r="G3" t="s">
        <v>4</v>
      </c>
      <c r="H3">
        <f>SUM(C3:C27)</f>
        <v>271.28370618892876</v>
      </c>
    </row>
    <row r="4" spans="1:8">
      <c r="A4" s="2">
        <v>6886</v>
      </c>
      <c r="B4" s="3">
        <v>450</v>
      </c>
      <c r="C4">
        <f t="shared" ref="C4:C27" si="0">LN(A4)</f>
        <v>8.8372456438984699</v>
      </c>
      <c r="D4">
        <f t="shared" ref="D4:D27" si="1">C4*B4</f>
        <v>3976.7605397543116</v>
      </c>
      <c r="E4">
        <f t="shared" ref="E4:E27" si="2">C4^2</f>
        <v>78.096910570602475</v>
      </c>
      <c r="G4" t="s">
        <v>9</v>
      </c>
      <c r="H4">
        <f>SUM(B3:B27)</f>
        <v>21812</v>
      </c>
    </row>
    <row r="5" spans="1:8">
      <c r="A5" s="2">
        <v>7234</v>
      </c>
      <c r="B5" s="3">
        <v>492</v>
      </c>
      <c r="C5">
        <f t="shared" si="0"/>
        <v>8.8865474125120425</v>
      </c>
      <c r="D5">
        <f t="shared" si="1"/>
        <v>4372.1813269559252</v>
      </c>
      <c r="E5">
        <f t="shared" si="2"/>
        <v>78.970724914824473</v>
      </c>
      <c r="G5" t="s">
        <v>10</v>
      </c>
      <c r="H5">
        <f>SUM(D3:D27)</f>
        <v>246980.24639753124</v>
      </c>
    </row>
    <row r="6" spans="1:8">
      <c r="A6" s="2">
        <v>11632</v>
      </c>
      <c r="B6" s="3">
        <v>565</v>
      </c>
      <c r="C6">
        <f t="shared" si="0"/>
        <v>9.3615151997733008</v>
      </c>
      <c r="D6">
        <f t="shared" si="1"/>
        <v>5289.256087871915</v>
      </c>
      <c r="E6">
        <f t="shared" si="2"/>
        <v>87.637966835586539</v>
      </c>
      <c r="G6" t="s">
        <v>6</v>
      </c>
      <c r="H6">
        <f>SUM(E3:E27)</f>
        <v>3004.5991135947434</v>
      </c>
    </row>
    <row r="7" spans="1:8">
      <c r="A7" s="2">
        <v>11912</v>
      </c>
      <c r="B7" s="3">
        <v>500</v>
      </c>
      <c r="C7">
        <f t="shared" si="0"/>
        <v>9.3853015743638455</v>
      </c>
      <c r="D7">
        <f t="shared" si="1"/>
        <v>4692.6507871819231</v>
      </c>
      <c r="E7">
        <f t="shared" si="2"/>
        <v>88.083885641756481</v>
      </c>
      <c r="G7" t="s">
        <v>11</v>
      </c>
      <c r="H7">
        <f>H3/25</f>
        <v>10.85134824755715</v>
      </c>
    </row>
    <row r="8" spans="1:8">
      <c r="A8" s="2">
        <v>12072</v>
      </c>
      <c r="B8" s="3">
        <v>592</v>
      </c>
      <c r="C8">
        <f t="shared" si="0"/>
        <v>9.3986440004476854</v>
      </c>
      <c r="D8">
        <f t="shared" si="1"/>
        <v>5563.9972482650301</v>
      </c>
      <c r="E8">
        <f t="shared" si="2"/>
        <v>88.334509047151272</v>
      </c>
      <c r="G8" t="s">
        <v>12</v>
      </c>
      <c r="H8">
        <f>H4/25</f>
        <v>872.48</v>
      </c>
    </row>
    <row r="9" spans="1:8">
      <c r="A9" s="2">
        <v>14196</v>
      </c>
      <c r="B9" s="3">
        <v>672</v>
      </c>
      <c r="C9">
        <f t="shared" si="0"/>
        <v>9.5607155137663877</v>
      </c>
      <c r="D9">
        <f t="shared" si="1"/>
        <v>6424.8008252510126</v>
      </c>
      <c r="E9">
        <f t="shared" si="2"/>
        <v>91.407281135173278</v>
      </c>
      <c r="G9" t="s">
        <v>14</v>
      </c>
      <c r="H9">
        <v>25</v>
      </c>
    </row>
    <row r="10" spans="1:8">
      <c r="A10" s="2">
        <v>15215</v>
      </c>
      <c r="B10" s="3">
        <v>685</v>
      </c>
      <c r="C10">
        <f t="shared" si="0"/>
        <v>9.6300370623310716</v>
      </c>
      <c r="D10">
        <f t="shared" si="1"/>
        <v>6596.5753876967838</v>
      </c>
      <c r="E10">
        <f t="shared" si="2"/>
        <v>92.737613821870056</v>
      </c>
      <c r="G10" t="s">
        <v>7</v>
      </c>
      <c r="H10">
        <f>((H9*H5)-(H3*H4))/((H9*H6)-(H3)^2)</f>
        <v>169.23960326583162</v>
      </c>
    </row>
    <row r="11" spans="1:8">
      <c r="A11" s="2">
        <v>22064</v>
      </c>
      <c r="B11" s="3">
        <v>781</v>
      </c>
      <c r="C11">
        <f t="shared" si="0"/>
        <v>10.001702600033083</v>
      </c>
      <c r="D11">
        <f t="shared" si="1"/>
        <v>7811.3297306258373</v>
      </c>
      <c r="E11">
        <f t="shared" si="2"/>
        <v>100.03405489950852</v>
      </c>
      <c r="G11" t="s">
        <v>13</v>
      </c>
      <c r="H11">
        <f>H8-(H10*H7)</f>
        <v>-963.99787231594928</v>
      </c>
    </row>
    <row r="12" spans="1:8">
      <c r="A12" s="2">
        <v>23113</v>
      </c>
      <c r="B12" s="3">
        <v>790</v>
      </c>
      <c r="C12">
        <f t="shared" si="0"/>
        <v>10.04815050877669</v>
      </c>
      <c r="D12">
        <f t="shared" si="1"/>
        <v>7938.0389019335853</v>
      </c>
      <c r="E12">
        <f t="shared" si="2"/>
        <v>100.96532864702925</v>
      </c>
    </row>
    <row r="13" spans="1:8">
      <c r="A13" s="2">
        <v>26451</v>
      </c>
      <c r="B13" s="3">
        <v>700</v>
      </c>
      <c r="C13">
        <f t="shared" si="0"/>
        <v>10.183049243755137</v>
      </c>
      <c r="D13">
        <f t="shared" si="1"/>
        <v>7128.1344706285963</v>
      </c>
      <c r="E13">
        <f t="shared" si="2"/>
        <v>103.69449190074208</v>
      </c>
    </row>
    <row r="14" spans="1:8">
      <c r="A14" s="2">
        <v>28883</v>
      </c>
      <c r="B14" s="3">
        <v>888</v>
      </c>
      <c r="C14">
        <f t="shared" si="0"/>
        <v>10.271008465728148</v>
      </c>
      <c r="D14">
        <f t="shared" si="1"/>
        <v>9120.6555175665944</v>
      </c>
      <c r="E14">
        <f t="shared" si="2"/>
        <v>105.49361490305928</v>
      </c>
    </row>
    <row r="15" spans="1:8">
      <c r="A15" s="2">
        <v>30492</v>
      </c>
      <c r="B15" s="3">
        <v>917</v>
      </c>
      <c r="C15">
        <f t="shared" si="0"/>
        <v>10.325219633108164</v>
      </c>
      <c r="D15">
        <f t="shared" si="1"/>
        <v>9468.2264035601856</v>
      </c>
      <c r="E15">
        <f t="shared" si="2"/>
        <v>106.61016047192228</v>
      </c>
    </row>
    <row r="16" spans="1:8">
      <c r="A16" s="2">
        <v>34059</v>
      </c>
      <c r="B16" s="3">
        <v>939</v>
      </c>
      <c r="C16">
        <f t="shared" si="0"/>
        <v>10.435849593832643</v>
      </c>
      <c r="D16">
        <f t="shared" si="1"/>
        <v>9799.2627686088508</v>
      </c>
      <c r="E16">
        <f t="shared" si="2"/>
        <v>108.90695674509693</v>
      </c>
    </row>
    <row r="17" spans="1:5">
      <c r="A17" s="2">
        <v>51595</v>
      </c>
      <c r="B17" s="3">
        <v>959</v>
      </c>
      <c r="C17">
        <f t="shared" si="0"/>
        <v>10.851180047549814</v>
      </c>
      <c r="D17">
        <f t="shared" si="1"/>
        <v>10406.281665600272</v>
      </c>
      <c r="E17">
        <f t="shared" si="2"/>
        <v>117.74810842434319</v>
      </c>
    </row>
    <row r="18" spans="1:5">
      <c r="A18" s="2">
        <v>60584</v>
      </c>
      <c r="B18" s="3">
        <v>962</v>
      </c>
      <c r="C18">
        <f t="shared" si="0"/>
        <v>11.011786110793659</v>
      </c>
      <c r="D18">
        <f t="shared" si="1"/>
        <v>10593.338238583501</v>
      </c>
      <c r="E18">
        <f t="shared" si="2"/>
        <v>121.25943334986815</v>
      </c>
    </row>
    <row r="19" spans="1:5">
      <c r="A19" s="2">
        <v>75860</v>
      </c>
      <c r="B19" s="3">
        <v>986</v>
      </c>
      <c r="C19">
        <f t="shared" si="0"/>
        <v>11.23664481524289</v>
      </c>
      <c r="D19">
        <f t="shared" si="1"/>
        <v>11079.331787829489</v>
      </c>
      <c r="E19">
        <f t="shared" si="2"/>
        <v>126.26218670392493</v>
      </c>
    </row>
    <row r="20" spans="1:5">
      <c r="A20" s="2">
        <v>101918</v>
      </c>
      <c r="B20" s="3">
        <v>1004</v>
      </c>
      <c r="C20">
        <f t="shared" si="0"/>
        <v>11.531923847379543</v>
      </c>
      <c r="D20">
        <f t="shared" si="1"/>
        <v>11578.051542769061</v>
      </c>
      <c r="E20">
        <f t="shared" si="2"/>
        <v>132.98526762176101</v>
      </c>
    </row>
    <row r="21" spans="1:5">
      <c r="A21" s="2">
        <v>355112</v>
      </c>
      <c r="B21" s="3">
        <v>1220</v>
      </c>
      <c r="C21">
        <f t="shared" si="0"/>
        <v>12.780188511657862</v>
      </c>
      <c r="D21">
        <f t="shared" si="1"/>
        <v>15591.829984222592</v>
      </c>
      <c r="E21">
        <f t="shared" si="2"/>
        <v>163.3332183935116</v>
      </c>
    </row>
    <row r="22" spans="1:5">
      <c r="A22" s="2">
        <v>367926</v>
      </c>
      <c r="B22" s="3">
        <v>1153</v>
      </c>
      <c r="C22">
        <f t="shared" si="0"/>
        <v>12.815637109973853</v>
      </c>
      <c r="D22">
        <f t="shared" si="1"/>
        <v>14776.429587799852</v>
      </c>
      <c r="E22">
        <f t="shared" si="2"/>
        <v>164.24055453453897</v>
      </c>
    </row>
    <row r="23" spans="1:5">
      <c r="A23" s="2">
        <v>411182</v>
      </c>
      <c r="B23" s="3">
        <v>1168</v>
      </c>
      <c r="C23">
        <f t="shared" si="0"/>
        <v>12.926791217845903</v>
      </c>
      <c r="D23">
        <f t="shared" si="1"/>
        <v>15098.492142444014</v>
      </c>
      <c r="E23">
        <f t="shared" si="2"/>
        <v>167.10193118977796</v>
      </c>
    </row>
    <row r="24" spans="1:5">
      <c r="A24" s="2">
        <v>467570</v>
      </c>
      <c r="B24" s="3">
        <v>1197</v>
      </c>
      <c r="C24">
        <f t="shared" si="0"/>
        <v>13.055304349122389</v>
      </c>
      <c r="D24">
        <f t="shared" si="1"/>
        <v>15627.199305899499</v>
      </c>
      <c r="E24">
        <f t="shared" si="2"/>
        <v>170.44097164821397</v>
      </c>
    </row>
    <row r="25" spans="1:5">
      <c r="A25" s="2">
        <v>504420</v>
      </c>
      <c r="B25" s="3">
        <v>1257</v>
      </c>
      <c r="C25">
        <f t="shared" si="0"/>
        <v>13.131164533357397</v>
      </c>
      <c r="D25">
        <f t="shared" si="1"/>
        <v>16505.873818430249</v>
      </c>
      <c r="E25">
        <f t="shared" si="2"/>
        <v>172.4274820021032</v>
      </c>
    </row>
    <row r="26" spans="1:5">
      <c r="A26" s="2">
        <v>652633</v>
      </c>
      <c r="B26" s="3">
        <v>1260</v>
      </c>
      <c r="C26">
        <f t="shared" si="0"/>
        <v>13.388770228825809</v>
      </c>
      <c r="D26">
        <f t="shared" si="1"/>
        <v>16869.850488320521</v>
      </c>
      <c r="E26">
        <f t="shared" si="2"/>
        <v>179.2591682402923</v>
      </c>
    </row>
    <row r="27" spans="1:5">
      <c r="A27" s="2">
        <v>738324</v>
      </c>
      <c r="B27" s="3">
        <v>1266</v>
      </c>
      <c r="C27">
        <f t="shared" si="0"/>
        <v>13.512138031629842</v>
      </c>
      <c r="D27">
        <f t="shared" si="1"/>
        <v>17106.36674804338</v>
      </c>
      <c r="E27">
        <f t="shared" si="2"/>
        <v>182.57787418581759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Newcastle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Sandi Rojas</dc:creator>
  <cp:lastModifiedBy>Theo Devos-Vernes</cp:lastModifiedBy>
  <dcterms:created xsi:type="dcterms:W3CDTF">2022-05-19T01:40:00Z</dcterms:created>
  <dcterms:modified xsi:type="dcterms:W3CDTF">2026-04-24T05:01:13Z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657E6BA944B74716B1FF60E2BAD367BD_13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